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戦績" sheetId="1" state="visible" r:id="rId1"/>
    <sheet name="レース別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0"/>
    </font>
    <font>
      <name val="游ゴシック"/>
      <b val="1"/>
      <sz val="10"/>
    </font>
    <font>
      <name val="游ゴシック"/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11" customWidth="1" min="7" max="7"/>
    <col width="12" customWidth="1" min="8" max="8"/>
    <col width="30" customWidth="1" min="9" max="9"/>
    <col width="50" customWidth="1" min="10" max="10"/>
  </cols>
  <sheetData>
    <row r="1" ht="28" customHeight="1">
      <c r="A1" s="1" t="inlineStr">
        <is>
          <t>日付</t>
        </is>
      </c>
      <c r="B1" s="1" t="inlineStr">
        <is>
          <t>開催</t>
        </is>
      </c>
      <c r="C1" s="1" t="inlineStr">
        <is>
          <t>G1/重賞</t>
        </is>
      </c>
      <c r="D1" s="1" t="inlineStr">
        <is>
          <t>軸1頭(/5)</t>
        </is>
      </c>
      <c r="E1" s="1" t="inlineStr">
        <is>
          <t>軸2頭BOX(/5)</t>
        </is>
      </c>
      <c r="F1" s="1" t="inlineStr">
        <is>
          <t>総流し(/5)</t>
        </is>
      </c>
      <c r="G1" s="1" t="inlineStr">
        <is>
          <t>完全的中</t>
        </is>
      </c>
      <c r="H1" s="1" t="inlineStr">
        <is>
          <t>AI評価</t>
        </is>
      </c>
      <c r="I1" s="1" t="inlineStr">
        <is>
          <t>メモ</t>
        </is>
      </c>
      <c r="J1" s="1" t="inlineStr">
        <is>
          <t>公開URL</t>
        </is>
      </c>
    </row>
    <row r="2">
      <c r="A2" s="2" t="inlineStr">
        <is>
          <t>2026/05/10</t>
        </is>
      </c>
      <c r="B2" s="2" t="inlineStr">
        <is>
          <t>京都/東京/新潟</t>
        </is>
      </c>
      <c r="C2" s="2" t="inlineStr">
        <is>
          <t>NHKマイルC(G1)</t>
        </is>
      </c>
      <c r="D2" s="3" t="n">
        <v>2</v>
      </c>
      <c r="E2" s="3" t="n">
        <v>3</v>
      </c>
      <c r="F2" s="3" t="n">
        <v>3</v>
      </c>
      <c r="G2" s="2" t="inlineStr">
        <is>
          <t>×</t>
        </is>
      </c>
      <c r="H2" s="2" t="inlineStr">
        <is>
          <t>○</t>
        </is>
      </c>
      <c r="I2" s="2" t="inlineStr">
        <is>
          <t>NHKマイル ◎17 ロデオドライブ的中。橘S◎4も的中</t>
        </is>
      </c>
      <c r="J2" s="2" t="inlineStr">
        <is>
          <t>https://chiyodasen.onrender.com/share/9h4FSQk8JBvl9zvKP1vKrz0A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18" customWidth="1" min="11" max="11"/>
    <col width="8" customWidth="1" min="12" max="12"/>
  </cols>
  <sheetData>
    <row r="1" ht="28" customHeight="1">
      <c r="A1" s="1" t="inlineStr">
        <is>
          <t>日付</t>
        </is>
      </c>
      <c r="B1" s="1" t="inlineStr">
        <is>
          <t>R</t>
        </is>
      </c>
      <c r="C1" s="1" t="inlineStr">
        <is>
          <t>コース</t>
        </is>
      </c>
      <c r="D1" s="1" t="inlineStr">
        <is>
          <t>レース名</t>
        </is>
      </c>
      <c r="E1" s="1" t="inlineStr">
        <is>
          <t>◎</t>
        </is>
      </c>
      <c r="F1" s="1" t="inlineStr">
        <is>
          <t>○</t>
        </is>
      </c>
      <c r="G1" s="1" t="inlineStr">
        <is>
          <t>▲</t>
        </is>
      </c>
      <c r="H1" s="1" t="inlineStr">
        <is>
          <t>△</t>
        </is>
      </c>
      <c r="I1" s="1" t="inlineStr">
        <is>
          <t>×</t>
        </is>
      </c>
      <c r="J1" s="1" t="inlineStr">
        <is>
          <t>1着</t>
        </is>
      </c>
      <c r="K1" s="1" t="inlineStr">
        <is>
          <t>馬名</t>
        </is>
      </c>
      <c r="L1" s="1" t="inlineStr">
        <is>
          <t>◎的中</t>
        </is>
      </c>
    </row>
    <row r="2">
      <c r="A2" s="2" t="inlineStr">
        <is>
          <t>2026/05/10</t>
        </is>
      </c>
      <c r="B2" s="2" t="n">
        <v>1</v>
      </c>
      <c r="C2" s="2" t="inlineStr">
        <is>
          <t>京都10R</t>
        </is>
      </c>
      <c r="D2" s="2" t="inlineStr">
        <is>
          <t>橘S</t>
        </is>
      </c>
      <c r="E2" s="2" t="n">
        <v>4</v>
      </c>
      <c r="F2" s="2" t="n">
        <v>5</v>
      </c>
      <c r="G2" s="2" t="n">
        <v>1</v>
      </c>
      <c r="H2" s="2" t="n">
        <v>6</v>
      </c>
      <c r="I2" s="2" t="n">
        <v>10</v>
      </c>
      <c r="J2" s="2" t="n">
        <v>4</v>
      </c>
      <c r="K2" s="2" t="inlineStr">
        <is>
          <t>タガノアラリア</t>
        </is>
      </c>
      <c r="L2" s="3" t="inlineStr">
        <is>
          <t>✓</t>
        </is>
      </c>
    </row>
    <row r="3">
      <c r="A3" s="2" t="inlineStr">
        <is>
          <t>2026/05/10</t>
        </is>
      </c>
      <c r="B3" s="2" t="n">
        <v>2</v>
      </c>
      <c r="C3" s="2" t="inlineStr">
        <is>
          <t>東京10R</t>
        </is>
      </c>
      <c r="D3" s="2" t="inlineStr">
        <is>
          <t>メトロポリタ</t>
        </is>
      </c>
      <c r="E3" s="2" t="n">
        <v>10</v>
      </c>
      <c r="F3" s="2" t="n">
        <v>2</v>
      </c>
      <c r="G3" s="2" t="n">
        <v>12</v>
      </c>
      <c r="H3" s="2" t="n">
        <v>8</v>
      </c>
      <c r="I3" s="2" t="n">
        <v>5</v>
      </c>
      <c r="J3" s="2" t="n">
        <v>12</v>
      </c>
      <c r="K3" s="2" t="inlineStr">
        <is>
          <t>ウエストナウ</t>
        </is>
      </c>
      <c r="L3" s="2" t="inlineStr">
        <is>
          <t>×</t>
        </is>
      </c>
    </row>
    <row r="4">
      <c r="A4" s="2" t="inlineStr">
        <is>
          <t>2026/05/10</t>
        </is>
      </c>
      <c r="B4" s="2" t="n">
        <v>3</v>
      </c>
      <c r="C4" s="2" t="inlineStr">
        <is>
          <t>新潟11R</t>
        </is>
      </c>
      <c r="D4" s="2" t="inlineStr">
        <is>
          <t>谷川岳S</t>
        </is>
      </c>
      <c r="E4" s="2" t="n">
        <v>11</v>
      </c>
      <c r="F4" s="2" t="n">
        <v>12</v>
      </c>
      <c r="G4" s="2" t="n">
        <v>9</v>
      </c>
      <c r="H4" s="2" t="n">
        <v>5</v>
      </c>
      <c r="I4" s="2" t="n">
        <v>6</v>
      </c>
      <c r="J4" s="2" t="n">
        <v>7</v>
      </c>
      <c r="K4" s="2" t="inlineStr">
        <is>
          <t>ランフォーヴァウ</t>
        </is>
      </c>
      <c r="L4" s="2" t="inlineStr">
        <is>
          <t>×</t>
        </is>
      </c>
    </row>
    <row r="5">
      <c r="A5" s="2" t="inlineStr">
        <is>
          <t>2026/05/10</t>
        </is>
      </c>
      <c r="B5" s="2" t="n">
        <v>4</v>
      </c>
      <c r="C5" s="2" t="inlineStr">
        <is>
          <t>京都11R</t>
        </is>
      </c>
      <c r="D5" s="2" t="inlineStr">
        <is>
          <t>平城京S</t>
        </is>
      </c>
      <c r="E5" s="2" t="n">
        <v>10</v>
      </c>
      <c r="F5" s="2" t="n">
        <v>4</v>
      </c>
      <c r="G5" s="2" t="n">
        <v>16</v>
      </c>
      <c r="H5" s="2" t="n">
        <v>5</v>
      </c>
      <c r="I5" s="2" t="n">
        <v>14</v>
      </c>
      <c r="J5" s="2" t="n">
        <v>4</v>
      </c>
      <c r="K5" s="2" t="inlineStr">
        <is>
          <t>テスティモーネ</t>
        </is>
      </c>
      <c r="L5" s="2" t="inlineStr">
        <is>
          <t>×</t>
        </is>
      </c>
    </row>
    <row r="6">
      <c r="A6" s="2" t="inlineStr">
        <is>
          <t>2026/05/10</t>
        </is>
      </c>
      <c r="B6" s="2" t="n">
        <v>5</v>
      </c>
      <c r="C6" s="2" t="inlineStr">
        <is>
          <t>東京11R</t>
        </is>
      </c>
      <c r="D6" s="2" t="inlineStr">
        <is>
          <t>NHKマイル</t>
        </is>
      </c>
      <c r="E6" s="2" t="n">
        <v>17</v>
      </c>
      <c r="F6" s="2" t="n">
        <v>10</v>
      </c>
      <c r="G6" s="2" t="n">
        <v>7</v>
      </c>
      <c r="H6" s="2" t="n">
        <v>16</v>
      </c>
      <c r="I6" s="2" t="n">
        <v>4</v>
      </c>
      <c r="J6" s="2" t="n">
        <v>17</v>
      </c>
      <c r="K6" s="2" t="inlineStr">
        <is>
          <t>ロデオドライブ</t>
        </is>
      </c>
      <c r="L6" s="3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4" t="inlineStr">
        <is>
          <t>千代田線 WIN5 累計成績</t>
        </is>
      </c>
    </row>
    <row r="3">
      <c r="A3" t="inlineStr">
        <is>
          <t>累計予想週数</t>
        </is>
      </c>
      <c r="B3">
        <f>COUNTA(戦績!A2:A1000)</f>
        <v/>
      </c>
    </row>
    <row r="4">
      <c r="A4" t="inlineStr">
        <is>
          <t>軸1頭 累計的中数</t>
        </is>
      </c>
      <c r="B4">
        <f>SUMIFS(戦績!D:D,戦績!D:D,"&gt;0")</f>
        <v/>
      </c>
    </row>
    <row r="5">
      <c r="A5" t="inlineStr">
        <is>
          <t>軸2頭BOX 累計的中数</t>
        </is>
      </c>
      <c r="B5">
        <f>SUMIFS(戦績!E:E,戦績!E:E,"&gt;0")</f>
        <v/>
      </c>
    </row>
    <row r="6">
      <c r="A6" t="inlineStr">
        <is>
          <t>総流し 累計的中数</t>
        </is>
      </c>
      <c r="B6">
        <f>SUMIFS(戦績!F:F,戦績!F:F,"&gt;0")</f>
        <v/>
      </c>
    </row>
    <row r="7">
      <c r="A7" t="inlineStr">
        <is>
          <t>完全的中回数</t>
        </is>
      </c>
      <c r="B7">
        <f>COUNTIF(戦績!G:G,"○")</f>
        <v/>
      </c>
    </row>
    <row r="9">
      <c r="A9" s="5" t="inlineStr">
        <is>
          <t>レース別 ◎的中率</t>
        </is>
      </c>
    </row>
    <row r="10">
      <c r="A10" t="inlineStr">
        <is>
          <t>総レース数</t>
        </is>
      </c>
      <c r="B10">
        <f>COUNTA(レース別!A2:A10000)</f>
        <v/>
      </c>
    </row>
    <row r="11">
      <c r="A11" t="inlineStr">
        <is>
          <t>◎的中数</t>
        </is>
      </c>
      <c r="B11">
        <f>COUNTIF(レース別!L:L,"✓")</f>
        <v/>
      </c>
    </row>
    <row r="12">
      <c r="A12" t="inlineStr">
        <is>
          <t>◎的中率</t>
        </is>
      </c>
      <c r="B12" s="6">
        <f>B11/B10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2026-05-10T11:14:48Z</dcterms:created>
  <dcterms:modified xsi:type="dcterms:W3CDTF">2026-05-10T11:14:48Z</dcterms:modified>
</cp:coreProperties>
</file>